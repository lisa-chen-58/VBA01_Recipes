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lisah\OneDrive\Desktop\Coding\40_Personal_Projects\Visual_Basic_Applications\VBA01_Recipes\"/>
    </mc:Choice>
  </mc:AlternateContent>
  <xr:revisionPtr revIDLastSave="0" documentId="13_ncr:1_{49F5E1CE-7093-4C6F-8189-686F723F6414}" xr6:coauthVersionLast="47" xr6:coauthVersionMax="47" xr10:uidLastSave="{00000000-0000-0000-0000-000000000000}"/>
  <bookViews>
    <workbookView xWindow="7275" yWindow="-16320" windowWidth="29040" windowHeight="16440" firstSheet="1" activeTab="1" xr2:uid="{DA5D6453-39CF-4CE7-9CFF-79FDC802E582}"/>
  </bookViews>
  <sheets>
    <sheet name="recipe_db" sheetId="1" state="hidden" r:id="rId1"/>
    <sheet name="single_recipe" sheetId="2" r:id="rId2"/>
  </sheets>
  <definedNames>
    <definedName name="_xlnm._FilterDatabase" localSheetId="0" hidden="1">recipe_db!$A$1:$BA$3</definedName>
  </definedNames>
  <calcPr calcId="18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C23" i="2" l="1"/>
  <c r="C22" i="2"/>
  <c r="C21" i="2"/>
  <c r="C20" i="2"/>
  <c r="C19" i="2"/>
  <c r="C18" i="2"/>
  <c r="C17" i="2"/>
  <c r="C16" i="2"/>
  <c r="C15" i="2"/>
  <c r="C14" i="2"/>
  <c r="C13" i="2"/>
  <c r="C12" i="2"/>
  <c r="C11" i="2"/>
  <c r="C10" i="2"/>
  <c r="C9" i="2"/>
  <c r="C8" i="2"/>
  <c r="B8" i="2" s="1"/>
  <c r="A42" i="2"/>
  <c r="A41" i="2"/>
  <c r="A40" i="2"/>
  <c r="A39" i="2"/>
  <c r="A38" i="2"/>
  <c r="A37" i="2"/>
  <c r="A36" i="2"/>
  <c r="A35" i="2"/>
  <c r="A34" i="2"/>
  <c r="A33" i="2"/>
  <c r="A32" i="2"/>
  <c r="A31" i="2"/>
  <c r="A30" i="2"/>
  <c r="A29" i="2"/>
  <c r="A28" i="2"/>
  <c r="A27" i="2"/>
  <c r="A24" i="2"/>
  <c r="A23" i="2"/>
  <c r="A22" i="2"/>
  <c r="A21" i="2"/>
  <c r="A20" i="2"/>
  <c r="A18" i="2"/>
  <c r="A17" i="2"/>
  <c r="A16" i="2"/>
  <c r="A15" i="2"/>
  <c r="A14" i="2"/>
  <c r="A13" i="2"/>
  <c r="A12" i="2"/>
  <c r="A11" i="2"/>
  <c r="A10" i="2"/>
  <c r="A9" i="2"/>
  <c r="C2" i="2"/>
  <c r="B9" i="2" l="1"/>
  <c r="B10" i="2" s="1"/>
  <c r="B11" i="2" s="1"/>
  <c r="B12" i="2" s="1"/>
  <c r="B13" i="2" s="1"/>
  <c r="B14" i="2" s="1"/>
  <c r="B15" i="2" s="1"/>
  <c r="B16" i="2" s="1"/>
  <c r="B17" i="2" s="1"/>
  <c r="B18" i="2" s="1"/>
  <c r="B19" i="2" s="1"/>
  <c r="B20" i="2" s="1"/>
  <c r="B21" i="2" s="1"/>
  <c r="B22" i="2" s="1"/>
  <c r="B23" i="2" s="1"/>
  <c r="B24" i="2" s="1"/>
  <c r="B25" i="2" s="1"/>
  <c r="B26" i="2" s="1"/>
  <c r="B27" i="2" s="1"/>
</calcChain>
</file>

<file path=xl/sharedStrings.xml><?xml version="1.0" encoding="utf-8"?>
<sst xmlns="http://schemas.openxmlformats.org/spreadsheetml/2006/main" count="111" uniqueCount="108">
  <si>
    <t>Recipe Name</t>
  </si>
  <si>
    <t>Recipe Type</t>
  </si>
  <si>
    <t>Has Lisa Tried This?</t>
  </si>
  <si>
    <t>Produce Ingredient 1</t>
  </si>
  <si>
    <t>Produce Ingredient2</t>
  </si>
  <si>
    <t>Produce Ingredient3</t>
  </si>
  <si>
    <t>Produce Ingredient4</t>
  </si>
  <si>
    <t>Produce Ingredient5</t>
  </si>
  <si>
    <t>Produce Ingredient6</t>
  </si>
  <si>
    <t>Produce Ingredient7</t>
  </si>
  <si>
    <t>Produce Ingredient8</t>
  </si>
  <si>
    <t>Produce Ingredient9</t>
  </si>
  <si>
    <t>Produce Ingredient10</t>
  </si>
  <si>
    <t>Meat and Cheese1</t>
  </si>
  <si>
    <t>Meat and Cheese2</t>
  </si>
  <si>
    <t>Meat and Cheese3</t>
  </si>
  <si>
    <t>Meat and Cheese4</t>
  </si>
  <si>
    <t>Meat and Cheese5</t>
  </si>
  <si>
    <t>Meat and Cheese6</t>
  </si>
  <si>
    <t>Other Ingredient1</t>
  </si>
  <si>
    <t>Other Ingredient2</t>
  </si>
  <si>
    <t>Other Ingredient3</t>
  </si>
  <si>
    <t>Other Ingredient4</t>
  </si>
  <si>
    <t>Other Ingredient5</t>
  </si>
  <si>
    <t>Other Ingredient6</t>
  </si>
  <si>
    <t>Other Ingredient7</t>
  </si>
  <si>
    <t>Other Ingredient8</t>
  </si>
  <si>
    <t>Other Ingredient9</t>
  </si>
  <si>
    <t>Other Ingredient10</t>
  </si>
  <si>
    <t>Other Ingredient11</t>
  </si>
  <si>
    <t>Other Ingredient12</t>
  </si>
  <si>
    <t>Other Ingredient13</t>
  </si>
  <si>
    <t>Other Ingredient14</t>
  </si>
  <si>
    <t>Other Ingredient15</t>
  </si>
  <si>
    <t>Other Ingredient16</t>
  </si>
  <si>
    <t>Directions1</t>
  </si>
  <si>
    <t>Directions2</t>
  </si>
  <si>
    <t>Directions3</t>
  </si>
  <si>
    <t>Directions4</t>
  </si>
  <si>
    <t>Directions5</t>
  </si>
  <si>
    <t>Directions6</t>
  </si>
  <si>
    <t>Yes</t>
  </si>
  <si>
    <t>Cajun Cabbage and Noodles</t>
  </si>
  <si>
    <t>Pressure Cooker</t>
  </si>
  <si>
    <t>cabbage (6 cups shredded - 1/2 of a 2.5lb head)</t>
  </si>
  <si>
    <t>green onion (2, sliced)</t>
  </si>
  <si>
    <t>smoked sausage (13 oz)</t>
  </si>
  <si>
    <t>oil (1 Tbsp)</t>
  </si>
  <si>
    <t>water (1/4 cup)</t>
  </si>
  <si>
    <t>wide egg noodels (8 oz)</t>
  </si>
  <si>
    <t>butter (2 Tbsp)</t>
  </si>
  <si>
    <t>hot sauce to taste</t>
  </si>
  <si>
    <t xml:space="preserve">Cajun Spice Mix: </t>
  </si>
  <si>
    <t>smoked paprika (1 tsp)</t>
  </si>
  <si>
    <t>oregano (1/2 tsp)</t>
  </si>
  <si>
    <t>thyme (1/2 tsp)</t>
  </si>
  <si>
    <t>garlic powder (1/4 tsp)</t>
  </si>
  <si>
    <t>onion powder (1/4 tsp)</t>
  </si>
  <si>
    <t>cayenne pepper (1/8 tsp)</t>
  </si>
  <si>
    <t>salt (1/4 tsp)</t>
  </si>
  <si>
    <t>pepper (fresh cracked 1/4 tsp)</t>
  </si>
  <si>
    <t>Combine the spices for the Cajun spice mix in a bowl, then set them aside. Finely shred the cabbage.</t>
  </si>
  <si>
    <t>Add the cooking oil to a large pot and heat over medium. Slice the smoked sausage, then add it to the pot. Stir and cook the sausage until it is well browned.</t>
  </si>
  <si>
    <t>While the sausage is browning, begin boiling a pot of water for the egg noodles. Once boiling, add the noodles, and continue to boil until they are tender. Drain the noodles in a colander.</t>
  </si>
  <si>
    <t>Add the shredded cabbage, Cajun spice mix, and water to the pot with the sausage. Stir to combine, then place a lid on top. Cook over medium, with the lid in place, stirring occasionally, for about 5-7 minutes, or until the cabbage is wilted.</t>
  </si>
  <si>
    <t>Once the cabbage is wilted, add the cooked and drained egg noodles and butter. Stir to combine and melt the butter. Once the butter is melted and coating the cabbage and noodles, taste the mixture and add more salt if needed.</t>
  </si>
  <si>
    <t>Add a sprinkle of sliced green onions and a splash of hot sauce to each bowl just before serving.</t>
  </si>
  <si>
    <t>Link Reference</t>
  </si>
  <si>
    <t>Mushroom and Chicken Soup</t>
  </si>
  <si>
    <t>celery (2 stalks - finely chopped)</t>
  </si>
  <si>
    <t>Onion (1 - minced)</t>
  </si>
  <si>
    <t>mushrooms (12 oz, thinly sliced)</t>
  </si>
  <si>
    <t>garlic (4 cloves)</t>
  </si>
  <si>
    <t>rosemary (2 sprigs)</t>
  </si>
  <si>
    <t>Parsley ( 1/2 cup)</t>
  </si>
  <si>
    <t>lemon (juiced)</t>
  </si>
  <si>
    <t>chicken thighs (1.5 lbs)</t>
  </si>
  <si>
    <t>butter (1 tbsp)</t>
  </si>
  <si>
    <t>Salt/Pepper (to taste)</t>
  </si>
  <si>
    <t>brown rice (1 cup)</t>
  </si>
  <si>
    <t>chicken stock (6 cups)</t>
  </si>
  <si>
    <t>bay leaves (2)</t>
  </si>
  <si>
    <t>Melt butter in inner steel pot of pressure cooker set to Saute on Normal</t>
  </si>
  <si>
    <t>Saute celery, carrots, and onion in the hot butter until tender, 3 to 5 minutes. Add mushrooms and garlic; saute for an additional 1 minute. Season mixture with salt and black pepper.</t>
  </si>
  <si>
    <t>Press cancel to turn off saute mode</t>
  </si>
  <si>
    <t>Add chicken thighs, rice, chicken stock, rosemary sprigs, and bay leaves to vegetable mixture.</t>
  </si>
  <si>
    <t>Lock pressure cooker lid in place and set steam vent to Sealing. Select Pressure Cook (manual) and cook for 15 min on High pressure.</t>
  </si>
  <si>
    <t>Allow pressure to release naturally.</t>
  </si>
  <si>
    <t>Remove rosemary sprigs and bay leaves from pressure cooker and discard</t>
  </si>
  <si>
    <t>Transfer chicken thighs to a bowl or plate and use two forks to shred the meat. Return the shredded meat to the pot; stir in parsley and lemon juice</t>
  </si>
  <si>
    <t>Recipe</t>
  </si>
  <si>
    <t>Produce</t>
  </si>
  <si>
    <t>Meat and Cheese</t>
  </si>
  <si>
    <t>Other Ingredients</t>
  </si>
  <si>
    <t>Reference Link</t>
  </si>
  <si>
    <t>https://www.budgetbytes.com/cajun-cabbage-and-noodles/</t>
  </si>
  <si>
    <t>INGREDIENTS</t>
  </si>
  <si>
    <t>DIRECTIONS</t>
  </si>
  <si>
    <t>Direction7</t>
  </si>
  <si>
    <t>Direction8</t>
  </si>
  <si>
    <t>Direction9</t>
  </si>
  <si>
    <t>Direction10</t>
  </si>
  <si>
    <t>Direction11</t>
  </si>
  <si>
    <t>Direction12</t>
  </si>
  <si>
    <t>Direction13</t>
  </si>
  <si>
    <t>Direction14</t>
  </si>
  <si>
    <t>Direction15</t>
  </si>
  <si>
    <t>Direction16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</si>
</sst>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theme="0"/>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8"/>
      <color theme="0"/>
      <name val="Calibri"/>
      <family val="2"/>
      <scheme val="minor"/>
    </font>
    <font>
      <b/>
      <sz val="18"/>
      <color theme="1"/>
      <name val="Calibri"/>
      <family val="2"/>
      <scheme val="minor"/>
    </font>
  </fonts>
  <fills count="12">
    <fill>
      <patternFill patternType="none"/>
    </fill>
    <fill>
      <patternFill patternType="gray125"/>
    </fill>
    <fill>
      <patternFill patternType="solid">
        <fgColor theme="4" tint="-0.249977111117893"/>
        <bgColor indexed="64"/>
      </patternFill>
    </fill>
    <fill>
      <patternFill patternType="solid">
        <fgColor rgb="FF002060"/>
        <bgColor indexed="64"/>
      </patternFill>
    </fill>
    <fill>
      <patternFill patternType="solid">
        <fgColor theme="8" tint="0.79998168889431442"/>
        <bgColor indexed="64"/>
      </patternFill>
    </fill>
    <fill>
      <patternFill patternType="solid">
        <fgColor theme="9"/>
        <bgColor theme="9"/>
      </patternFill>
    </fill>
    <fill>
      <patternFill patternType="solid">
        <fgColor theme="0" tint="-0.14999847407452621"/>
        <bgColor theme="0" tint="-0.14999847407452621"/>
      </patternFill>
    </fill>
    <fill>
      <patternFill patternType="solid">
        <fgColor theme="5"/>
        <bgColor theme="5"/>
      </patternFill>
    </fill>
    <fill>
      <patternFill patternType="solid">
        <fgColor theme="8"/>
        <bgColor theme="8"/>
      </patternFill>
    </fill>
    <fill>
      <patternFill patternType="solid">
        <fgColor rgb="FF00CC99"/>
        <bgColor indexed="64"/>
      </patternFill>
    </fill>
    <fill>
      <patternFill patternType="solid">
        <fgColor theme="1"/>
        <bgColor indexed="64"/>
      </patternFill>
    </fill>
    <fill>
      <patternFill patternType="solid">
        <fgColor rgb="FFFFFF00"/>
        <bgColor indexed="64"/>
      </patternFill>
    </fill>
  </fills>
  <borders count="4">
    <border>
      <left/>
      <right/>
      <top/>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right/>
      <top/>
      <bottom style="medium">
        <color theme="1"/>
      </bottom>
      <diagonal/>
    </border>
    <border>
      <left/>
      <right/>
      <top style="medium">
        <color theme="1"/>
      </top>
      <bottom/>
      <diagonal/>
    </border>
  </borders>
  <cellStyleXfs count="2">
    <xf numFmtId="0" fontId="0" fillId="0" borderId="0"/>
    <xf numFmtId="0" fontId="4" fillId="0" borderId="0" applyNumberFormat="0" applyFill="0" applyBorder="0" applyAlignment="0" applyProtection="0"/>
  </cellStyleXfs>
  <cellXfs count="22">
    <xf numFmtId="0" fontId="0" fillId="0" borderId="0" xfId="0"/>
    <xf numFmtId="0" fontId="1" fillId="2" borderId="0" xfId="0" applyFont="1" applyFill="1"/>
    <xf numFmtId="0" fontId="0" fillId="0" borderId="1" xfId="0" applyBorder="1"/>
    <xf numFmtId="0" fontId="4" fillId="0" borderId="1" xfId="1" applyBorder="1"/>
    <xf numFmtId="0" fontId="2" fillId="3" borderId="0" xfId="0" applyFont="1" applyFill="1"/>
    <xf numFmtId="0" fontId="4" fillId="4" borderId="0" xfId="1" applyFill="1"/>
    <xf numFmtId="0" fontId="0" fillId="6" borderId="0" xfId="0" applyFont="1" applyFill="1"/>
    <xf numFmtId="0" fontId="0" fillId="0" borderId="0" xfId="0" applyFont="1"/>
    <xf numFmtId="0" fontId="0" fillId="0" borderId="2" xfId="0" applyFont="1" applyBorder="1"/>
    <xf numFmtId="0" fontId="3" fillId="9" borderId="0" xfId="0" applyFont="1" applyFill="1"/>
    <xf numFmtId="0" fontId="2" fillId="5" borderId="3" xfId="0" applyFont="1" applyFill="1" applyBorder="1"/>
    <xf numFmtId="0" fontId="0" fillId="6" borderId="3" xfId="0" applyFont="1" applyFill="1" applyBorder="1"/>
    <xf numFmtId="0" fontId="2" fillId="7" borderId="3" xfId="0" applyFont="1" applyFill="1" applyBorder="1"/>
    <xf numFmtId="0" fontId="2" fillId="8" borderId="3" xfId="0" applyFont="1" applyFill="1" applyBorder="1"/>
    <xf numFmtId="0" fontId="0" fillId="10" borderId="0" xfId="0" applyFill="1"/>
    <xf numFmtId="0" fontId="5" fillId="3" borderId="0" xfId="0" applyFont="1" applyFill="1"/>
    <xf numFmtId="0" fontId="6" fillId="0" borderId="0" xfId="0" applyFont="1"/>
    <xf numFmtId="0" fontId="0" fillId="6" borderId="3" xfId="0" applyFont="1" applyFill="1" applyBorder="1" applyAlignment="1">
      <alignment wrapText="1"/>
    </xf>
    <xf numFmtId="0" fontId="0" fillId="0" borderId="0" xfId="0" applyFont="1" applyAlignment="1">
      <alignment wrapText="1"/>
    </xf>
    <xf numFmtId="0" fontId="0" fillId="6" borderId="0" xfId="0" applyFont="1" applyFill="1" applyAlignment="1">
      <alignment wrapText="1"/>
    </xf>
    <xf numFmtId="0" fontId="0" fillId="0" borderId="2" xfId="0" applyFont="1" applyBorder="1" applyAlignment="1">
      <alignment wrapText="1"/>
    </xf>
    <xf numFmtId="0" fontId="6" fillId="11" borderId="0" xfId="0" applyFont="1" applyFill="1"/>
  </cellXfs>
  <cellStyles count="2">
    <cellStyle name="Hyperlink" xfId="1" builtinId="8"/>
    <cellStyle name="Normal" xfId="0" builtinId="0"/>
  </cellStyles>
  <dxfs count="0"/>
  <tableStyles count="0" defaultTableStyle="TableStyleMedium2" defaultPivotStyle="PivotStyleLight16"/>
  <colors>
    <mruColors>
      <color rgb="FFCCFFCC"/>
      <color rgb="FF00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131445</xdr:colOff>
          <xdr:row>0</xdr:row>
          <xdr:rowOff>114300</xdr:rowOff>
        </xdr:from>
        <xdr:to>
          <xdr:col>0</xdr:col>
          <xdr:colOff>1045845</xdr:colOff>
          <xdr:row>2</xdr:row>
          <xdr:rowOff>57150</xdr:rowOff>
        </xdr:to>
        <xdr:sp macro="" textlink="">
          <xdr:nvSpPr>
            <xdr:cNvPr id="2049" name="ShowFormButton" hidden="1">
              <a:extLst>
                <a:ext uri="{63B3BB69-23CF-44E3-9099-C40C66FF867C}">
                  <a14:compatExt spid="_x0000_s2049"/>
                </a:ext>
                <a:ext uri="{FF2B5EF4-FFF2-40B4-BE49-F238E27FC236}">
                  <a16:creationId xmlns:a16="http://schemas.microsoft.com/office/drawing/2014/main" id="{D18EC3AC-3598-449E-1ACC-A7648B0D18E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budgetbytes.com/cajun-cabbage-and-noodles/"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88943-D06A-4258-A054-D5BCE0E2734D}">
  <sheetPr codeName="Recipe_db"/>
  <dimension ref="A1:BA22"/>
  <sheetViews>
    <sheetView workbookViewId="0">
      <selection activeCell="A4" sqref="A4"/>
    </sheetView>
  </sheetViews>
  <sheetFormatPr defaultRowHeight="14.4" x14ac:dyDescent="0.55000000000000004"/>
  <sheetData>
    <row r="1" spans="1:53" x14ac:dyDescent="0.5500000000000000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36</v>
      </c>
      <c r="AL1" s="1" t="s">
        <v>37</v>
      </c>
      <c r="AM1" s="1" t="s">
        <v>38</v>
      </c>
      <c r="AN1" s="1" t="s">
        <v>39</v>
      </c>
      <c r="AO1" s="1" t="s">
        <v>40</v>
      </c>
      <c r="AP1" s="1" t="s">
        <v>98</v>
      </c>
      <c r="AQ1" s="1" t="s">
        <v>99</v>
      </c>
      <c r="AR1" s="1" t="s">
        <v>100</v>
      </c>
      <c r="AS1" s="1" t="s">
        <v>101</v>
      </c>
      <c r="AT1" s="1" t="s">
        <v>102</v>
      </c>
      <c r="AU1" s="1" t="s">
        <v>103</v>
      </c>
      <c r="AV1" s="1" t="s">
        <v>104</v>
      </c>
      <c r="AW1" s="1" t="s">
        <v>105</v>
      </c>
      <c r="AX1" s="1" t="s">
        <v>106</v>
      </c>
      <c r="AY1" s="1" t="s">
        <v>107</v>
      </c>
      <c r="AZ1" s="1" t="s">
        <v>67</v>
      </c>
    </row>
    <row r="2" spans="1:53" x14ac:dyDescent="0.55000000000000004">
      <c r="A2" s="2" t="s">
        <v>42</v>
      </c>
      <c r="B2" s="2" t="s">
        <v>43</v>
      </c>
      <c r="C2" s="2" t="s">
        <v>41</v>
      </c>
      <c r="D2" s="2" t="s">
        <v>44</v>
      </c>
      <c r="E2" s="2" t="s">
        <v>45</v>
      </c>
      <c r="F2" s="2"/>
      <c r="G2" s="2"/>
      <c r="H2" s="2"/>
      <c r="I2" s="2"/>
      <c r="J2" s="2"/>
      <c r="K2" s="2"/>
      <c r="L2" s="2"/>
      <c r="M2" s="2"/>
      <c r="N2" s="2" t="s">
        <v>46</v>
      </c>
      <c r="O2" s="2"/>
      <c r="P2" s="2"/>
      <c r="Q2" s="2"/>
      <c r="R2" s="2"/>
      <c r="S2" s="2"/>
      <c r="T2" s="2" t="s">
        <v>47</v>
      </c>
      <c r="U2" s="2" t="s">
        <v>48</v>
      </c>
      <c r="V2" s="2" t="s">
        <v>49</v>
      </c>
      <c r="W2" s="2" t="s">
        <v>50</v>
      </c>
      <c r="X2" s="2" t="s">
        <v>51</v>
      </c>
      <c r="Y2" s="2" t="s">
        <v>52</v>
      </c>
      <c r="Z2" s="2" t="s">
        <v>53</v>
      </c>
      <c r="AA2" s="2" t="s">
        <v>54</v>
      </c>
      <c r="AB2" s="2" t="s">
        <v>55</v>
      </c>
      <c r="AC2" s="2" t="s">
        <v>56</v>
      </c>
      <c r="AD2" s="2" t="s">
        <v>57</v>
      </c>
      <c r="AE2" s="2" t="s">
        <v>58</v>
      </c>
      <c r="AF2" s="2" t="s">
        <v>59</v>
      </c>
      <c r="AG2" s="2" t="s">
        <v>60</v>
      </c>
      <c r="AH2" s="2"/>
      <c r="AI2" s="2"/>
      <c r="AJ2" s="2" t="s">
        <v>61</v>
      </c>
      <c r="AK2" s="2" t="s">
        <v>62</v>
      </c>
      <c r="AL2" s="2" t="s">
        <v>63</v>
      </c>
      <c r="AM2" s="2" t="s">
        <v>64</v>
      </c>
      <c r="AN2" s="2" t="s">
        <v>65</v>
      </c>
      <c r="AO2" s="2" t="s">
        <v>66</v>
      </c>
      <c r="AP2" s="2"/>
      <c r="AQ2" s="2"/>
      <c r="AR2" s="2"/>
      <c r="AS2" s="2"/>
      <c r="AT2" s="2"/>
      <c r="AU2" s="2"/>
      <c r="AV2" s="2"/>
      <c r="AW2" s="2"/>
      <c r="AX2" s="2"/>
      <c r="AY2" s="2"/>
      <c r="AZ2" s="3" t="s">
        <v>95</v>
      </c>
    </row>
    <row r="3" spans="1:53" x14ac:dyDescent="0.55000000000000004">
      <c r="A3" s="2" t="s">
        <v>68</v>
      </c>
      <c r="B3" s="2" t="s">
        <v>43</v>
      </c>
      <c r="C3" s="2" t="s">
        <v>41</v>
      </c>
      <c r="D3" s="2" t="s">
        <v>69</v>
      </c>
      <c r="E3" s="2" t="s">
        <v>70</v>
      </c>
      <c r="F3" s="2" t="s">
        <v>71</v>
      </c>
      <c r="G3" s="2" t="s">
        <v>72</v>
      </c>
      <c r="H3" s="2" t="s">
        <v>73</v>
      </c>
      <c r="I3" s="2" t="s">
        <v>74</v>
      </c>
      <c r="J3" s="2" t="s">
        <v>75</v>
      </c>
      <c r="K3" s="2"/>
      <c r="L3" s="2"/>
      <c r="M3" s="2"/>
      <c r="N3" s="2" t="s">
        <v>76</v>
      </c>
      <c r="O3" s="2"/>
      <c r="P3" s="2"/>
      <c r="Q3" s="2"/>
      <c r="R3" s="2"/>
      <c r="S3" s="2"/>
      <c r="T3" s="2" t="s">
        <v>77</v>
      </c>
      <c r="U3" s="2" t="s">
        <v>78</v>
      </c>
      <c r="V3" s="2" t="s">
        <v>79</v>
      </c>
      <c r="W3" s="2" t="s">
        <v>80</v>
      </c>
      <c r="X3" s="2" t="s">
        <v>81</v>
      </c>
      <c r="Y3" s="2"/>
      <c r="Z3" s="2"/>
      <c r="AA3" s="2"/>
      <c r="AB3" s="2"/>
      <c r="AC3" s="2"/>
      <c r="AD3" s="2"/>
      <c r="AE3" s="2"/>
      <c r="AF3" s="2"/>
      <c r="AG3" s="2"/>
      <c r="AH3" s="2"/>
      <c r="AI3" s="2"/>
      <c r="AJ3" s="2" t="s">
        <v>82</v>
      </c>
      <c r="AK3" s="2" t="s">
        <v>83</v>
      </c>
      <c r="AL3" s="2" t="s">
        <v>84</v>
      </c>
      <c r="AM3" s="2" t="s">
        <v>85</v>
      </c>
      <c r="AN3" s="2" t="s">
        <v>86</v>
      </c>
      <c r="AO3" s="2" t="s">
        <v>87</v>
      </c>
      <c r="AP3" s="2"/>
      <c r="AQ3" s="2"/>
      <c r="AR3" s="2"/>
      <c r="AS3" s="2"/>
      <c r="AT3" s="2"/>
      <c r="AU3" s="2"/>
      <c r="AV3" s="2"/>
      <c r="AW3" s="2"/>
      <c r="AX3" s="2"/>
      <c r="AY3" s="2"/>
      <c r="AZ3" s="2" t="s">
        <v>88</v>
      </c>
      <c r="BA3" t="s">
        <v>89</v>
      </c>
    </row>
    <row r="4" spans="1:53" x14ac:dyDescent="0.55000000000000004">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row>
    <row r="5" spans="1:53" x14ac:dyDescent="0.55000000000000004">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row>
    <row r="6" spans="1:53" x14ac:dyDescent="0.55000000000000004">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row>
    <row r="7" spans="1:53" x14ac:dyDescent="0.55000000000000004">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row>
    <row r="8" spans="1:53" x14ac:dyDescent="0.55000000000000004">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row>
    <row r="9" spans="1:53" x14ac:dyDescent="0.55000000000000004">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row>
    <row r="10" spans="1:53" x14ac:dyDescent="0.55000000000000004">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row>
    <row r="11" spans="1:53" x14ac:dyDescent="0.55000000000000004">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row>
    <row r="12" spans="1:53" x14ac:dyDescent="0.55000000000000004">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row>
    <row r="13" spans="1:53" x14ac:dyDescent="0.55000000000000004">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row>
    <row r="14" spans="1:53" x14ac:dyDescent="0.55000000000000004">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row>
    <row r="15" spans="1:53" x14ac:dyDescent="0.55000000000000004">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row>
    <row r="16" spans="1:53" x14ac:dyDescent="0.55000000000000004">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row>
    <row r="17" spans="1:52" x14ac:dyDescent="0.55000000000000004">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row>
    <row r="18" spans="1:52" x14ac:dyDescent="0.55000000000000004">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row>
    <row r="19" spans="1:52" x14ac:dyDescent="0.55000000000000004">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row>
    <row r="20" spans="1:52" x14ac:dyDescent="0.55000000000000004">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row>
    <row r="21" spans="1:52" x14ac:dyDescent="0.55000000000000004">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row>
    <row r="22" spans="1:52" x14ac:dyDescent="0.55000000000000004">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row>
  </sheetData>
  <autoFilter ref="A1:BA3" xr:uid="{BC288943-D06A-4258-A054-D5BCE0E2734D}"/>
  <hyperlinks>
    <hyperlink ref="AZ2" r:id="rId1" xr:uid="{13846504-BBCF-4A66-98B5-7157C5FAF77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DF484D-07FC-46E2-A89E-D528DD1F96C7}">
  <sheetPr codeName="SingleRecipe"/>
  <dimension ref="A1:C42"/>
  <sheetViews>
    <sheetView tabSelected="1" workbookViewId="0">
      <selection activeCell="E6" sqref="E6"/>
    </sheetView>
  </sheetViews>
  <sheetFormatPr defaultRowHeight="14.4" x14ac:dyDescent="0.55000000000000004"/>
  <cols>
    <col min="1" max="1" width="39.7890625" bestFit="1" customWidth="1"/>
    <col min="2" max="2" width="7.68359375" bestFit="1" customWidth="1"/>
    <col min="3" max="3" width="88.47265625" customWidth="1"/>
  </cols>
  <sheetData>
    <row r="1" spans="1:3" x14ac:dyDescent="0.55000000000000004">
      <c r="A1" s="14"/>
      <c r="C1" s="4" t="s">
        <v>94</v>
      </c>
    </row>
    <row r="2" spans="1:3" x14ac:dyDescent="0.55000000000000004">
      <c r="A2" s="14"/>
      <c r="C2" s="5" t="str">
        <f>HYPERLINK(INDEX(recipe_db!$A$1:$AZ$200,MATCH(single_recipe!$C$5,recipe_db!$A$1:$A$200,0),MATCH(recipe_db!$AZ$1,recipe_db!$A$1:$AZ$1,0)))</f>
        <v>https://www.budgetbytes.com/cajun-cabbage-and-noodles/</v>
      </c>
    </row>
    <row r="3" spans="1:3" x14ac:dyDescent="0.55000000000000004">
      <c r="A3" s="14"/>
    </row>
    <row r="5" spans="1:3" ht="23.1" x14ac:dyDescent="0.85">
      <c r="A5" s="15" t="s">
        <v>90</v>
      </c>
      <c r="B5" s="16"/>
      <c r="C5" s="21" t="s">
        <v>42</v>
      </c>
    </row>
    <row r="7" spans="1:3" ht="14.7" thickBot="1" x14ac:dyDescent="0.6">
      <c r="A7" s="9" t="s">
        <v>96</v>
      </c>
      <c r="C7" s="9" t="s">
        <v>97</v>
      </c>
    </row>
    <row r="8" spans="1:3" ht="14.7" thickBot="1" x14ac:dyDescent="0.6">
      <c r="A8" s="10" t="s">
        <v>91</v>
      </c>
      <c r="B8">
        <f>IF(C8="","",1)</f>
        <v>1</v>
      </c>
      <c r="C8" s="17" t="str">
        <f>IFERROR(IF(INDEX(recipe_db!$A:$AZ,MATCH($C$5,recipe_db!$A:$A,0),MATCH(recipe_db!AJ$1,recipe_db!$A$1:$AZ$1,0))=0,"",INDEX(recipe_db!$A:$AZ,MATCH($C$5,recipe_db!$A:$A,0),MATCH(recipe_db!AJ$1,recipe_db!$A$1:$AZ$1,0))),"")</f>
        <v>Combine the spices for the Cajun spice mix in a bowl, then set them aside. Finely shred the cabbage.</v>
      </c>
    </row>
    <row r="9" spans="1:3" x14ac:dyDescent="0.55000000000000004">
      <c r="A9" s="11" t="str">
        <f>IF(INDEX(recipe_db!$A:$AZ,MATCH($C$5,recipe_db!$A:$A,0),MATCH(recipe_db!D$1,recipe_db!$A$1:$AZ$1,0))=0,"",INDEX(recipe_db!$A:$AZ,MATCH($C$5,recipe_db!$A:$A,0),MATCH(recipe_db!D$1,recipe_db!$A$1:$AZ$1,0)))</f>
        <v>cabbage (6 cups shredded - 1/2 of a 2.5lb head)</v>
      </c>
      <c r="B9">
        <f>IFERROR(IF(C9="","",IF(B8&gt;0,B8+1,"")),"")</f>
        <v>2</v>
      </c>
      <c r="C9" s="18" t="str">
        <f>IFERROR(IF(INDEX(recipe_db!$A:$AZ,MATCH($C$5,recipe_db!$A:$A,0),MATCH(recipe_db!AK$1,recipe_db!$A$1:$AZ$1,0))=0,"",INDEX(recipe_db!$A:$AZ,MATCH($C$5,recipe_db!$A:$A,0),MATCH(recipe_db!AK$1,recipe_db!$A$1:$AZ$1,0))),"")</f>
        <v>Add the cooking oil to a large pot and heat over medium. Slice the smoked sausage, then add it to the pot. Stir and cook the sausage until it is well browned.</v>
      </c>
    </row>
    <row r="10" spans="1:3" x14ac:dyDescent="0.55000000000000004">
      <c r="A10" s="7" t="str">
        <f>IF(INDEX(recipe_db!$A:$AZ,MATCH($C$5,recipe_db!$A:$A,0),MATCH(recipe_db!E$1,recipe_db!$A$1:$AZ$1,0))=0,"",INDEX(recipe_db!$A:$AZ,MATCH($C$5,recipe_db!$A:$A,0),MATCH(recipe_db!E$1,recipe_db!$A$1:$AZ$1,0)))</f>
        <v>green onion (2, sliced)</v>
      </c>
      <c r="B10">
        <f t="shared" ref="B10:B27" si="0">IFERROR(IF(C10="","",IF(B9&gt;0,B9+1,"")),"")</f>
        <v>3</v>
      </c>
      <c r="C10" s="19" t="str">
        <f>IFERROR(IF(INDEX(recipe_db!$A:$AZ,MATCH($C$5,recipe_db!$A:$A,0),MATCH(recipe_db!AL$1,recipe_db!$A$1:$AZ$1,0))=0,"",INDEX(recipe_db!$A:$AZ,MATCH($C$5,recipe_db!$A:$A,0),MATCH(recipe_db!AL$1,recipe_db!$A$1:$AZ$1,0))),"")</f>
        <v>While the sausage is browning, begin boiling a pot of water for the egg noodles. Once boiling, add the noodles, and continue to boil until they are tender. Drain the noodles in a colander.</v>
      </c>
    </row>
    <row r="11" spans="1:3" x14ac:dyDescent="0.55000000000000004">
      <c r="A11" s="6" t="str">
        <f>IF(INDEX(recipe_db!$A:$AZ,MATCH($C$5,recipe_db!$A:$A,0),MATCH(recipe_db!F$1,recipe_db!$A$1:$AZ$1,0))=0,"",INDEX(recipe_db!$A:$AZ,MATCH($C$5,recipe_db!$A:$A,0),MATCH(recipe_db!F$1,recipe_db!$A$1:$AZ$1,0)))</f>
        <v/>
      </c>
      <c r="B11">
        <f t="shared" si="0"/>
        <v>4</v>
      </c>
      <c r="C11" s="18" t="str">
        <f>IFERROR(IF(INDEX(recipe_db!$A:$AZ,MATCH($C$5,recipe_db!$A:$A,0),MATCH(recipe_db!AM$1,recipe_db!$A$1:$AZ$1,0))=0,"",INDEX(recipe_db!$A:$AZ,MATCH($C$5,recipe_db!$A:$A,0),MATCH(recipe_db!AM$1,recipe_db!$A$1:$AZ$1,0))),"")</f>
        <v>Add the shredded cabbage, Cajun spice mix, and water to the pot with the sausage. Stir to combine, then place a lid on top. Cook over medium, with the lid in place, stirring occasionally, for about 5-7 minutes, or until the cabbage is wilted.</v>
      </c>
    </row>
    <row r="12" spans="1:3" x14ac:dyDescent="0.55000000000000004">
      <c r="A12" s="7" t="str">
        <f>IF(INDEX(recipe_db!$A:$AZ,MATCH($C$5,recipe_db!$A:$A,0),MATCH(recipe_db!G$1,recipe_db!$A$1:$AZ$1,0))=0,"",INDEX(recipe_db!$A:$AZ,MATCH($C$5,recipe_db!$A:$A,0),MATCH(recipe_db!G$1,recipe_db!$A$1:$AZ$1,0)))</f>
        <v/>
      </c>
      <c r="B12">
        <f t="shared" si="0"/>
        <v>5</v>
      </c>
      <c r="C12" s="19" t="str">
        <f>IFERROR(IF(INDEX(recipe_db!$A:$AZ,MATCH($C$5,recipe_db!$A:$A,0),MATCH(recipe_db!AN$1,recipe_db!$A$1:$AZ$1,0))=0,"",INDEX(recipe_db!$A:$AZ,MATCH($C$5,recipe_db!$A:$A,0),MATCH(recipe_db!AN$1,recipe_db!$A$1:$AZ$1,0))),"")</f>
        <v>Once the cabbage is wilted, add the cooked and drained egg noodles and butter. Stir to combine and melt the butter. Once the butter is melted and coating the cabbage and noodles, taste the mixture and add more salt if needed.</v>
      </c>
    </row>
    <row r="13" spans="1:3" x14ac:dyDescent="0.55000000000000004">
      <c r="A13" s="6" t="str">
        <f>IF(INDEX(recipe_db!$A:$AZ,MATCH($C$5,recipe_db!$A:$A,0),MATCH(recipe_db!H$1,recipe_db!$A$1:$AZ$1,0))=0,"",INDEX(recipe_db!$A:$AZ,MATCH($C$5,recipe_db!$A:$A,0),MATCH(recipe_db!H$1,recipe_db!$A$1:$AZ$1,0)))</f>
        <v/>
      </c>
      <c r="B13">
        <f t="shared" si="0"/>
        <v>6</v>
      </c>
      <c r="C13" s="18" t="str">
        <f>IFERROR(IF(INDEX(recipe_db!$A:$AZ,MATCH($C$5,recipe_db!$A:$A,0),MATCH(recipe_db!AO$1,recipe_db!$A$1:$AZ$1,0))=0,"",INDEX(recipe_db!$A:$AZ,MATCH($C$5,recipe_db!$A:$A,0),MATCH(recipe_db!AO$1,recipe_db!$A$1:$AZ$1,0))),"")</f>
        <v>Add a sprinkle of sliced green onions and a splash of hot sauce to each bowl just before serving.</v>
      </c>
    </row>
    <row r="14" spans="1:3" x14ac:dyDescent="0.55000000000000004">
      <c r="A14" s="7" t="str">
        <f>IF(INDEX(recipe_db!$A:$AZ,MATCH($C$5,recipe_db!$A:$A,0),MATCH(recipe_db!I$1,recipe_db!$A$1:$AZ$1,0))=0,"",INDEX(recipe_db!$A:$AZ,MATCH($C$5,recipe_db!$A:$A,0),MATCH(recipe_db!I$1,recipe_db!$A$1:$AZ$1,0)))</f>
        <v/>
      </c>
      <c r="B14" t="str">
        <f t="shared" si="0"/>
        <v/>
      </c>
      <c r="C14" s="19" t="str">
        <f>IFERROR(IF(INDEX(recipe_db!$A:$AZ,MATCH($C$5,recipe_db!$A:$A,0),MATCH(recipe_db!AP$1,recipe_db!$A$1:$AZ$1,0))=0,"",INDEX(recipe_db!$A:$AZ,MATCH($C$5,recipe_db!$A:$A,0),MATCH(recipe_db!AP$1,recipe_db!$A$1:$AZ$1,0))),"")</f>
        <v/>
      </c>
    </row>
    <row r="15" spans="1:3" x14ac:dyDescent="0.55000000000000004">
      <c r="A15" s="6" t="str">
        <f>IF(INDEX(recipe_db!$A:$AZ,MATCH($C$5,recipe_db!$A:$A,0),MATCH(recipe_db!J$1,recipe_db!$A$1:$AZ$1,0))=0,"",INDEX(recipe_db!$A:$AZ,MATCH($C$5,recipe_db!$A:$A,0),MATCH(recipe_db!J$1,recipe_db!$A$1:$AZ$1,0)))</f>
        <v/>
      </c>
      <c r="B15" t="str">
        <f t="shared" si="0"/>
        <v/>
      </c>
      <c r="C15" s="18" t="str">
        <f>IFERROR(IF(INDEX(recipe_db!$A:$AZ,MATCH($C$5,recipe_db!$A:$A,0),MATCH(recipe_db!AQ$1,recipe_db!$A$1:$AZ$1,0))=0,"",INDEX(recipe_db!$A:$AZ,MATCH($C$5,recipe_db!$A:$A,0),MATCH(recipe_db!AQ$1,recipe_db!$A$1:$AZ$1,0))),"")</f>
        <v/>
      </c>
    </row>
    <row r="16" spans="1:3" x14ac:dyDescent="0.55000000000000004">
      <c r="A16" s="7" t="str">
        <f>IF(INDEX(recipe_db!$A:$AZ,MATCH($C$5,recipe_db!$A:$A,0),MATCH(recipe_db!K$1,recipe_db!$A$1:$AZ$1,0))=0,"",INDEX(recipe_db!$A:$AZ,MATCH($C$5,recipe_db!$A:$A,0),MATCH(recipe_db!K$1,recipe_db!$A$1:$AZ$1,0)))</f>
        <v/>
      </c>
      <c r="B16" t="str">
        <f t="shared" si="0"/>
        <v/>
      </c>
      <c r="C16" s="19" t="str">
        <f>IFERROR(IF(INDEX(recipe_db!$A:$AZ,MATCH($C$5,recipe_db!$A:$A,0),MATCH(recipe_db!AR$1,recipe_db!$A$1:$AZ$1,0))=0,"",INDEX(recipe_db!$A:$AZ,MATCH($C$5,recipe_db!$A:$A,0),MATCH(recipe_db!AR$1,recipe_db!$A$1:$AZ$1,0))),"")</f>
        <v/>
      </c>
    </row>
    <row r="17" spans="1:3" x14ac:dyDescent="0.55000000000000004">
      <c r="A17" s="6" t="str">
        <f>IF(INDEX(recipe_db!$A:$AZ,MATCH($C$5,recipe_db!$A:$A,0),MATCH(recipe_db!L$1,recipe_db!$A$1:$AZ$1,0))=0,"",INDEX(recipe_db!$A:$AZ,MATCH($C$5,recipe_db!$A:$A,0),MATCH(recipe_db!L$1,recipe_db!$A$1:$AZ$1,0)))</f>
        <v/>
      </c>
      <c r="B17" t="str">
        <f t="shared" si="0"/>
        <v/>
      </c>
      <c r="C17" s="18" t="str">
        <f>IFERROR(IF(INDEX(recipe_db!$A:$AZ,MATCH($C$5,recipe_db!$A:$A,0),MATCH(recipe_db!AS$1,recipe_db!$A$1:$AZ$1,0))=0,"",INDEX(recipe_db!$A:$AZ,MATCH($C$5,recipe_db!$A:$A,0),MATCH(recipe_db!AS$1,recipe_db!$A$1:$AZ$1,0))),"")</f>
        <v/>
      </c>
    </row>
    <row r="18" spans="1:3" ht="14.7" thickBot="1" x14ac:dyDescent="0.6">
      <c r="A18" s="8" t="str">
        <f>IF(INDEX(recipe_db!$A:$AZ,MATCH($C$5,recipe_db!$A:$A,0),MATCH(recipe_db!M$1,recipe_db!$A$1:$AZ$1,0))=0,"",INDEX(recipe_db!$A:$AZ,MATCH($C$5,recipe_db!$A:$A,0),MATCH(recipe_db!M$1,recipe_db!$A$1:$AZ$1,0)))</f>
        <v/>
      </c>
      <c r="B18" t="str">
        <f t="shared" si="0"/>
        <v/>
      </c>
      <c r="C18" s="19" t="str">
        <f>IFERROR(IF(INDEX(recipe_db!$A:$AZ,MATCH($C$5,recipe_db!$A:$A,0),MATCH(recipe_db!AT$1,recipe_db!$A$1:$AZ$1,0))=0,"",INDEX(recipe_db!$A:$AZ,MATCH($C$5,recipe_db!$A:$A,0),MATCH(recipe_db!AT$1,recipe_db!$A$1:$AZ$1,0))),"")</f>
        <v/>
      </c>
    </row>
    <row r="19" spans="1:3" ht="14.7" thickBot="1" x14ac:dyDescent="0.6">
      <c r="A19" s="12" t="s">
        <v>92</v>
      </c>
      <c r="B19" t="str">
        <f t="shared" si="0"/>
        <v/>
      </c>
      <c r="C19" s="18" t="str">
        <f>IFERROR(IF(INDEX(recipe_db!$A:$AZ,MATCH($C$5,recipe_db!$A:$A,0),MATCH(recipe_db!AU$1,recipe_db!$A$1:$AZ$1,0))=0,"",INDEX(recipe_db!$A:$AZ,MATCH($C$5,recipe_db!$A:$A,0),MATCH(recipe_db!AU$1,recipe_db!$A$1:$AZ$1,0))),"")</f>
        <v/>
      </c>
    </row>
    <row r="20" spans="1:3" x14ac:dyDescent="0.55000000000000004">
      <c r="A20" s="11" t="str">
        <f>IF(INDEX(recipe_db!$A:$AZ,MATCH($C$5,recipe_db!$A:$A,0),MATCH(recipe_db!N$1,recipe_db!$A$1:$AZ$1,0))=0,"",INDEX(recipe_db!$A:$AZ,MATCH($C$5,recipe_db!$A:$A,0),MATCH(recipe_db!N$1,recipe_db!$A$1:$AZ$1,0)))</f>
        <v>smoked sausage (13 oz)</v>
      </c>
      <c r="B20" t="str">
        <f t="shared" si="0"/>
        <v/>
      </c>
      <c r="C20" s="19" t="str">
        <f>IFERROR(IF(INDEX(recipe_db!$A:$AZ,MATCH($C$5,recipe_db!$A:$A,0),MATCH(recipe_db!AV$1,recipe_db!$A$1:$AZ$1,0))=0,"",INDEX(recipe_db!$A:$AZ,MATCH($C$5,recipe_db!$A:$A,0),MATCH(recipe_db!AV$1,recipe_db!$A$1:$AZ$1,0))),"")</f>
        <v/>
      </c>
    </row>
    <row r="21" spans="1:3" x14ac:dyDescent="0.55000000000000004">
      <c r="A21" s="7" t="str">
        <f>IF(INDEX(recipe_db!$A:$AZ,MATCH($C$5,recipe_db!$A:$A,0),MATCH(recipe_db!O$1,recipe_db!$A$1:$AZ$1,0))=0,"",INDEX(recipe_db!$A:$AZ,MATCH($C$5,recipe_db!$A:$A,0),MATCH(recipe_db!O$1,recipe_db!$A$1:$AZ$1,0)))</f>
        <v/>
      </c>
      <c r="B21" t="str">
        <f t="shared" si="0"/>
        <v/>
      </c>
      <c r="C21" s="18" t="str">
        <f>IFERROR(IF(INDEX(recipe_db!$A:$AZ,MATCH($C$5,recipe_db!$A:$A,0),MATCH(recipe_db!AW$1,recipe_db!$A$1:$AZ$1,0))=0,"",INDEX(recipe_db!$A:$AZ,MATCH($C$5,recipe_db!$A:$A,0),MATCH(recipe_db!AW$1,recipe_db!$A$1:$AZ$1,0))),"")</f>
        <v/>
      </c>
    </row>
    <row r="22" spans="1:3" x14ac:dyDescent="0.55000000000000004">
      <c r="A22" s="6" t="str">
        <f>IF(INDEX(recipe_db!$A:$AZ,MATCH($C$5,recipe_db!$A:$A,0),MATCH(recipe_db!P$1,recipe_db!$A$1:$AZ$1,0))=0,"",INDEX(recipe_db!$A:$AZ,MATCH($C$5,recipe_db!$A:$A,0),MATCH(recipe_db!P$1,recipe_db!$A$1:$AZ$1,0)))</f>
        <v/>
      </c>
      <c r="B22" t="str">
        <f t="shared" si="0"/>
        <v/>
      </c>
      <c r="C22" s="19" t="str">
        <f>IFERROR(IF(INDEX(recipe_db!$A:$AZ,MATCH($C$5,recipe_db!$A:$A,0),MATCH(recipe_db!AX$1,recipe_db!$A$1:$AZ$1,0))=0,"",INDEX(recipe_db!$A:$AZ,MATCH($C$5,recipe_db!$A:$A,0),MATCH(recipe_db!AX$1,recipe_db!$A$1:$AZ$1,0))),"")</f>
        <v/>
      </c>
    </row>
    <row r="23" spans="1:3" ht="14.7" thickBot="1" x14ac:dyDescent="0.6">
      <c r="A23" s="7" t="str">
        <f>IF(INDEX(recipe_db!$A:$AZ,MATCH($C$5,recipe_db!$A:$A,0),MATCH(recipe_db!Q$1,recipe_db!$A$1:$AZ$1,0))=0,"",INDEX(recipe_db!$A:$AZ,MATCH($C$5,recipe_db!$A:$A,0),MATCH(recipe_db!Q$1,recipe_db!$A$1:$AZ$1,0)))</f>
        <v/>
      </c>
      <c r="B23" t="str">
        <f>IFERROR(IF(#REF!="","",IF(B22&gt;0,B22+1,"")),"")</f>
        <v/>
      </c>
      <c r="C23" s="20" t="str">
        <f>IFERROR(IF(INDEX(recipe_db!$A:$AZ,MATCH($C$5,recipe_db!$A:$A,0),MATCH(recipe_db!AY$1,recipe_db!$A$1:$AZ$1,0))=0,"",INDEX(recipe_db!$A:$AZ,MATCH($C$5,recipe_db!$A:$A,0),MATCH(recipe_db!AY$1,recipe_db!$A$1:$AZ$1,0))),"")</f>
        <v/>
      </c>
    </row>
    <row r="24" spans="1:3" x14ac:dyDescent="0.55000000000000004">
      <c r="A24" s="6" t="str">
        <f>IF(INDEX(recipe_db!$A:$AZ,MATCH($C$5,recipe_db!$A:$A,0),MATCH(recipe_db!R$1,recipe_db!$A$1:$AZ$1,0))=0,"",INDEX(recipe_db!$A:$AZ,MATCH($C$5,recipe_db!$A:$A,0),MATCH(recipe_db!R$1,recipe_db!$A$1:$AZ$1,0)))</f>
        <v/>
      </c>
      <c r="B24" t="str">
        <f t="shared" si="0"/>
        <v/>
      </c>
    </row>
    <row r="25" spans="1:3" ht="14.7" thickBot="1" x14ac:dyDescent="0.6">
      <c r="B25" t="str">
        <f t="shared" si="0"/>
        <v/>
      </c>
    </row>
    <row r="26" spans="1:3" ht="14.7" thickBot="1" x14ac:dyDescent="0.6">
      <c r="A26" s="13" t="s">
        <v>93</v>
      </c>
      <c r="B26" t="str">
        <f t="shared" si="0"/>
        <v/>
      </c>
    </row>
    <row r="27" spans="1:3" x14ac:dyDescent="0.55000000000000004">
      <c r="A27" s="11" t="str">
        <f>IF(INDEX(recipe_db!$A:$AZ,MATCH($C$5,recipe_db!$A:$A,0),MATCH(recipe_db!T$1,recipe_db!$A$1:$AZ$1,0))=0,"",INDEX(recipe_db!$A:$AZ,MATCH($C$5,recipe_db!$A:$A,0),MATCH(recipe_db!T$1,recipe_db!$A$1:$AZ$1,0)))</f>
        <v>oil (1 Tbsp)</v>
      </c>
      <c r="B27" t="str">
        <f>IFERROR(IF(C23="","",IF(B26&gt;0,B26+1,"")),"")</f>
        <v/>
      </c>
    </row>
    <row r="28" spans="1:3" x14ac:dyDescent="0.55000000000000004">
      <c r="A28" s="7" t="str">
        <f>IF(INDEX(recipe_db!$A:$AZ,MATCH($C$5,recipe_db!$A:$A,0),MATCH(recipe_db!U$1,recipe_db!$A$1:$AZ$1,0))=0,"",INDEX(recipe_db!$A:$AZ,MATCH($C$5,recipe_db!$A:$A,0),MATCH(recipe_db!U$1,recipe_db!$A$1:$AZ$1,0)))</f>
        <v>water (1/4 cup)</v>
      </c>
    </row>
    <row r="29" spans="1:3" x14ac:dyDescent="0.55000000000000004">
      <c r="A29" s="6" t="str">
        <f>IF(INDEX(recipe_db!$A:$AZ,MATCH($C$5,recipe_db!$A:$A,0),MATCH(recipe_db!V$1,recipe_db!$A$1:$AZ$1,0))=0,"",INDEX(recipe_db!$A:$AZ,MATCH($C$5,recipe_db!$A:$A,0),MATCH(recipe_db!V$1,recipe_db!$A$1:$AZ$1,0)))</f>
        <v>wide egg noodels (8 oz)</v>
      </c>
    </row>
    <row r="30" spans="1:3" x14ac:dyDescent="0.55000000000000004">
      <c r="A30" s="7" t="str">
        <f>IF(INDEX(recipe_db!$A:$AZ,MATCH($C$5,recipe_db!$A:$A,0),MATCH(recipe_db!W$1,recipe_db!$A$1:$AZ$1,0))=0,"",INDEX(recipe_db!$A:$AZ,MATCH($C$5,recipe_db!$A:$A,0),MATCH(recipe_db!W$1,recipe_db!$A$1:$AZ$1,0)))</f>
        <v>butter (2 Tbsp)</v>
      </c>
    </row>
    <row r="31" spans="1:3" x14ac:dyDescent="0.55000000000000004">
      <c r="A31" s="6" t="str">
        <f>IF(INDEX(recipe_db!$A:$AZ,MATCH($C$5,recipe_db!$A:$A,0),MATCH(recipe_db!X$1,recipe_db!$A$1:$AZ$1,0))=0,"",INDEX(recipe_db!$A:$AZ,MATCH($C$5,recipe_db!$A:$A,0),MATCH(recipe_db!X$1,recipe_db!$A$1:$AZ$1,0)))</f>
        <v>hot sauce to taste</v>
      </c>
    </row>
    <row r="32" spans="1:3" x14ac:dyDescent="0.55000000000000004">
      <c r="A32" s="7" t="str">
        <f>IF(INDEX(recipe_db!$A:$AZ,MATCH($C$5,recipe_db!$A:$A,0),MATCH(recipe_db!Y$1,recipe_db!$A$1:$AZ$1,0))=0,"",INDEX(recipe_db!$A:$AZ,MATCH($C$5,recipe_db!$A:$A,0),MATCH(recipe_db!Y$1,recipe_db!$A$1:$AZ$1,0)))</f>
        <v xml:space="preserve">Cajun Spice Mix: </v>
      </c>
    </row>
    <row r="33" spans="1:1" x14ac:dyDescent="0.55000000000000004">
      <c r="A33" s="6" t="str">
        <f>IF(INDEX(recipe_db!$A:$AZ,MATCH($C$5,recipe_db!$A:$A,0),MATCH(recipe_db!Z$1,recipe_db!$A$1:$AZ$1,0))=0,"",INDEX(recipe_db!$A:$AZ,MATCH($C$5,recipe_db!$A:$A,0),MATCH(recipe_db!Z$1,recipe_db!$A$1:$AZ$1,0)))</f>
        <v>smoked paprika (1 tsp)</v>
      </c>
    </row>
    <row r="34" spans="1:1" x14ac:dyDescent="0.55000000000000004">
      <c r="A34" s="7" t="str">
        <f>IF(INDEX(recipe_db!$A:$AZ,MATCH($C$5,recipe_db!$A:$A,0),MATCH(recipe_db!AA$1,recipe_db!$A$1:$AZ$1,0))=0,"",INDEX(recipe_db!$A:$AZ,MATCH($C$5,recipe_db!$A:$A,0),MATCH(recipe_db!AA$1,recipe_db!$A$1:$AZ$1,0)))</f>
        <v>oregano (1/2 tsp)</v>
      </c>
    </row>
    <row r="35" spans="1:1" x14ac:dyDescent="0.55000000000000004">
      <c r="A35" s="6" t="str">
        <f>IF(INDEX(recipe_db!$A:$AZ,MATCH($C$5,recipe_db!$A:$A,0),MATCH(recipe_db!AB$1,recipe_db!$A$1:$AZ$1,0))=0,"",INDEX(recipe_db!$A:$AZ,MATCH($C$5,recipe_db!$A:$A,0),MATCH(recipe_db!AB$1,recipe_db!$A$1:$AZ$1,0)))</f>
        <v>thyme (1/2 tsp)</v>
      </c>
    </row>
    <row r="36" spans="1:1" x14ac:dyDescent="0.55000000000000004">
      <c r="A36" s="7" t="str">
        <f>IF(INDEX(recipe_db!$A:$AZ,MATCH($C$5,recipe_db!$A:$A,0),MATCH(recipe_db!AC$1,recipe_db!$A$1:$AZ$1,0))=0,"",INDEX(recipe_db!$A:$AZ,MATCH($C$5,recipe_db!$A:$A,0),MATCH(recipe_db!AC$1,recipe_db!$A$1:$AZ$1,0)))</f>
        <v>garlic powder (1/4 tsp)</v>
      </c>
    </row>
    <row r="37" spans="1:1" x14ac:dyDescent="0.55000000000000004">
      <c r="A37" s="6" t="str">
        <f>IF(INDEX(recipe_db!$A:$AZ,MATCH($C$5,recipe_db!$A:$A,0),MATCH(recipe_db!AD$1,recipe_db!$A$1:$AZ$1,0))=0,"",INDEX(recipe_db!$A:$AZ,MATCH($C$5,recipe_db!$A:$A,0),MATCH(recipe_db!AD$1,recipe_db!$A$1:$AZ$1,0)))</f>
        <v>onion powder (1/4 tsp)</v>
      </c>
    </row>
    <row r="38" spans="1:1" x14ac:dyDescent="0.55000000000000004">
      <c r="A38" s="7" t="str">
        <f>IF(INDEX(recipe_db!$A:$AZ,MATCH($C$5,recipe_db!$A:$A,0),MATCH(recipe_db!AE$1,recipe_db!$A$1:$AZ$1,0))=0,"",INDEX(recipe_db!$A:$AZ,MATCH($C$5,recipe_db!$A:$A,0),MATCH(recipe_db!AE$1,recipe_db!$A$1:$AZ$1,0)))</f>
        <v>cayenne pepper (1/8 tsp)</v>
      </c>
    </row>
    <row r="39" spans="1:1" x14ac:dyDescent="0.55000000000000004">
      <c r="A39" s="6" t="str">
        <f>IF(INDEX(recipe_db!$A:$AZ,MATCH($C$5,recipe_db!$A:$A,0),MATCH(recipe_db!AF$1,recipe_db!$A$1:$AZ$1,0))=0,"",INDEX(recipe_db!$A:$AZ,MATCH($C$5,recipe_db!$A:$A,0),MATCH(recipe_db!AF$1,recipe_db!$A$1:$AZ$1,0)))</f>
        <v>salt (1/4 tsp)</v>
      </c>
    </row>
    <row r="40" spans="1:1" x14ac:dyDescent="0.55000000000000004">
      <c r="A40" s="7" t="str">
        <f>IF(INDEX(recipe_db!$A:$AZ,MATCH($C$5,recipe_db!$A:$A,0),MATCH(recipe_db!AG$1,recipe_db!$A$1:$AZ$1,0))=0,"",INDEX(recipe_db!$A:$AZ,MATCH($C$5,recipe_db!$A:$A,0),MATCH(recipe_db!AG$1,recipe_db!$A$1:$AZ$1,0)))</f>
        <v>pepper (fresh cracked 1/4 tsp)</v>
      </c>
    </row>
    <row r="41" spans="1:1" x14ac:dyDescent="0.55000000000000004">
      <c r="A41" s="6" t="str">
        <f>IF(INDEX(recipe_db!$A:$AZ,MATCH($C$5,recipe_db!$A:$A,0),MATCH(recipe_db!AH$1,recipe_db!$A$1:$AZ$1,0))=0,"",INDEX(recipe_db!$A:$AZ,MATCH($C$5,recipe_db!$A:$A,0),MATCH(recipe_db!AH$1,recipe_db!$A$1:$AZ$1,0)))</f>
        <v/>
      </c>
    </row>
    <row r="42" spans="1:1" ht="14.7" thickBot="1" x14ac:dyDescent="0.6">
      <c r="A42" s="8" t="str">
        <f>IF(INDEX(recipe_db!$A:$AZ,MATCH($C$5,recipe_db!$A:$A,0),MATCH(recipe_db!AI$1,recipe_db!$A$1:$AZ$1,0))=0,"",INDEX(recipe_db!$A:$AZ,MATCH($C$5,recipe_db!$A:$A,0),MATCH(recipe_db!AI$1,recipe_db!$A$1:$AZ$1,0)))</f>
        <v/>
      </c>
    </row>
  </sheetData>
  <pageMargins left="0.7" right="0.7" top="0.75" bottom="0.75" header="0.3" footer="0.3"/>
  <pageSetup orientation="portrait" r:id="rId1"/>
  <drawing r:id="rId2"/>
  <legacyDrawing r:id="rId3"/>
  <controls>
    <mc:AlternateContent xmlns:mc="http://schemas.openxmlformats.org/markup-compatibility/2006">
      <mc:Choice Requires="x14">
        <control shapeId="2049" r:id="rId4" name="ShowFormButton">
          <controlPr defaultSize="0" autoLine="0" r:id="rId5">
            <anchor moveWithCells="1">
              <from>
                <xdr:col>0</xdr:col>
                <xdr:colOff>133350</xdr:colOff>
                <xdr:row>0</xdr:row>
                <xdr:rowOff>114300</xdr:rowOff>
              </from>
              <to>
                <xdr:col>0</xdr:col>
                <xdr:colOff>1047750</xdr:colOff>
                <xdr:row>2</xdr:row>
                <xdr:rowOff>57150</xdr:rowOff>
              </to>
            </anchor>
          </controlPr>
        </control>
      </mc:Choice>
      <mc:Fallback>
        <control shapeId="2049" r:id="rId4" name="ShowFormButton"/>
      </mc:Fallback>
    </mc:AlternateContent>
  </controls>
  <extLst>
    <ext xmlns:x14="http://schemas.microsoft.com/office/spreadsheetml/2009/9/main" uri="{CCE6A557-97BC-4b89-ADB6-D9C93CAAB3DF}">
      <x14:dataValidations xmlns:xm="http://schemas.microsoft.com/office/excel/2006/main" count="1">
        <x14:dataValidation type="list" errorStyle="warning" allowBlank="1" showErrorMessage="1" errorTitle="Does Not Exist" error="This recipe does not exist. Choose a valid recipe from the dropdown list" xr:uid="{D6591A34-D0D6-4257-8CA1-EE587624AEB3}">
          <x14:formula1>
            <xm:f>recipe_db!$A$2:$A$187</xm:f>
          </x14:formula1>
          <xm:sqref>C5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recipe_db</vt:lpstr>
      <vt:lpstr>single_recipe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Lisa Chen</dc:creator>
  <cp:lastModifiedBy>Lisa Chen</cp:lastModifiedBy>
  <dcterms:created xsi:type="dcterms:W3CDTF">2022-09-25T22:50:47Z</dcterms:created>
  <dcterms:modified xsi:type="dcterms:W3CDTF">2022-09-26T03:30:20Z</dcterms:modified>
</cp:coreProperties>
</file>